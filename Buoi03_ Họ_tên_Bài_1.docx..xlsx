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F36E86E-B4A5-4EB4-A253-2177B11D7226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 viên điểm &lt;7" sheetId="6" r:id="rId6"/>
    <sheet name="sinh viên điểm &gt;=7" sheetId="7" r:id="rId7"/>
  </sheets>
  <definedNames>
    <definedName name="_xlnm._FilterDatabase" localSheetId="2" hidden="1">'Điểm bài tập lớn'!$A$2:$D$16</definedName>
    <definedName name="_xlnm._FilterDatabase" localSheetId="3" hidden="1">'Điểm lý thuyết'!$A$2:$D$16</definedName>
    <definedName name="_xlnm._FilterDatabase" localSheetId="1" hidden="1">'Điểm thực hành các buổi'!$A$2:$F$16</definedName>
    <definedName name="_xlnm._FilterDatabase" localSheetId="0" hidden="1">'Tổng hợp điểm'!$A$6:$K$20</definedName>
    <definedName name="_xlnm.Print_Area" localSheetId="4">'Các bảng tham chiếu &amp; Thống kê'!$A$1:$F$27</definedName>
    <definedName name="_xlnm.Print_Area" localSheetId="2">'Điểm bài tập lớn'!$A$1:$D$16</definedName>
    <definedName name="_xlnm.Print_Area" localSheetId="3">'Điểm lý thuyết'!$A$1:$D$16</definedName>
    <definedName name="_xlnm.Print_Area" localSheetId="1">'Điểm thực hành các buổi'!$A$1:$F$16</definedName>
    <definedName name="_xlnm.Print_Area" localSheetId="0">'Tổng hợp điểm'!$A$1:$K$20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 a="1"/>
  <c r="F27" i="5"/>
  <c r="F26" i="5"/>
  <c r="F16" i="5"/>
  <c r="F17" i="5"/>
  <c r="F18" i="5"/>
  <c r="F19" i="5"/>
  <c r="F20" i="5"/>
  <c r="F21" i="5"/>
  <c r="F22" i="5"/>
  <c r="F23" i="5"/>
  <c r="J14" i="1"/>
  <c r="K14" i="1" s="1"/>
  <c r="J17" i="1"/>
  <c r="K17" i="1" s="1"/>
  <c r="J19" i="1"/>
  <c r="K19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I12" i="1"/>
  <c r="J12" i="1" s="1"/>
  <c r="K12" i="1" s="1"/>
  <c r="I13" i="1"/>
  <c r="J13" i="1" s="1"/>
  <c r="K13" i="1" s="1"/>
  <c r="I14" i="1"/>
  <c r="I15" i="1"/>
  <c r="J15" i="1" s="1"/>
  <c r="K15" i="1" s="1"/>
  <c r="I16" i="1"/>
  <c r="J16" i="1" s="1"/>
  <c r="K16" i="1" s="1"/>
  <c r="I18" i="1"/>
  <c r="J18" i="1" s="1"/>
  <c r="K18" i="1" s="1"/>
  <c r="I20" i="1"/>
  <c r="J20" i="1" s="1"/>
  <c r="K20" i="1" s="1"/>
  <c r="I7" i="1"/>
  <c r="J7" i="1" s="1"/>
  <c r="K7" i="1" s="1"/>
  <c r="K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<sst xmlns="http://schemas.openxmlformats.org/spreadsheetml/2006/main" count="272" uniqueCount="97">
  <si>
    <t>ĐIỂM THI HK1-2018-2019 (CT428)</t>
  </si>
  <si>
    <t>Ho va ten</t>
  </si>
  <si>
    <t>Nguyen Minh Trung</t>
  </si>
  <si>
    <t>Mã MH</t>
  </si>
  <si>
    <t>CT428</t>
  </si>
  <si>
    <t>Ma NH</t>
  </si>
  <si>
    <t>8</t>
  </si>
  <si>
    <t>Nam hoc</t>
  </si>
  <si>
    <t>2020-2021</t>
  </si>
  <si>
    <t>Hoc ky</t>
  </si>
  <si>
    <t>1</t>
  </si>
  <si>
    <t>S
T
T</t>
  </si>
  <si>
    <t>Mã SV</t>
  </si>
  <si>
    <t>Họ và Tên</t>
  </si>
  <si>
    <t>Điểm
TH 1</t>
  </si>
  <si>
    <t>Điểm
TH 2</t>
  </si>
  <si>
    <t>Điểm
TH 3</t>
  </si>
  <si>
    <t>Điểm
BT
lớn</t>
  </si>
  <si>
    <t>Điểm
LT</t>
  </si>
  <si>
    <t>Điểm
tổng</t>
  </si>
  <si>
    <t>Điểm
theo
thang
điểm
10</t>
  </si>
  <si>
    <t>Điểm
chữ</t>
  </si>
  <si>
    <t>0B1505719</t>
  </si>
  <si>
    <t>1B150915</t>
  </si>
  <si>
    <t>0B1509874</t>
  </si>
  <si>
    <t>0B150929</t>
  </si>
  <si>
    <t>2B1605223</t>
  </si>
  <si>
    <t>0B160235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</si>
  <si>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</si>
  <si>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</si>
  <si>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</si>
  <si>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</si>
  <si>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</si>
  <si>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</si>
  <si>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</si>
  <si>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</si>
  <si>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</si>
  <si>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STT</t>
  </si>
  <si>
    <t>Họ và tên</t>
  </si>
  <si>
    <t>Điểm TH 1</t>
  </si>
  <si>
    <t>Điểm TH 2</t>
  </si>
  <si>
    <t>Điểm TH 3</t>
  </si>
  <si>
    <t>B1505719</t>
  </si>
  <si>
    <t>Nguyễn Văn Hiếu</t>
  </si>
  <si>
    <t>B1509515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</si>
  <si>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</si>
  <si>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</si>
  <si>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</si>
  <si>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</si>
  <si>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</si>
  <si>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</si>
  <si>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</si>
  <si>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</si>
  <si>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</si>
  <si>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</si>
  <si>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</si>
  <si>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</si>
  <si>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</si>
  <si>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</si>
  <si>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</si>
  <si>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</si>
  <si>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</si>
  <si>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</si>
  <si>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</si>
  <si>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</si>
  <si>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</si>
  <si>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</si>
  <si>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</si>
  <si>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</si>
  <si>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</si>
  <si>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</si>
  <si>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</si>
  <si>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Điểm lý thuyết</t>
  </si>
  <si>
    <t>Nguyễn Phúc Hiếu</t>
  </si>
  <si>
    <t>Bảng quy đổi điểm</t>
  </si>
  <si>
    <t>Bảng Điểm Chuyển đổi</t>
  </si>
  <si>
    <t>Điểm theo thang điểm 10</t>
  </si>
  <si>
    <t>Điểm chữ</t>
  </si>
  <si>
    <t>Điểm theo thang điểm 4</t>
  </si>
  <si>
    <t>Số buổi vắng</t>
  </si>
  <si>
    <t>Điểm CT</t>
  </si>
  <si>
    <t>A+</t>
  </si>
  <si>
    <t>A</t>
  </si>
  <si>
    <t>A-</t>
  </si>
  <si>
    <t>B+</t>
  </si>
  <si>
    <t>B</t>
  </si>
  <si>
    <t>C+</t>
  </si>
  <si>
    <t>C</t>
  </si>
  <si>
    <t>D+</t>
  </si>
  <si>
    <t>D</t>
  </si>
  <si>
    <t>F</t>
  </si>
  <si>
    <t>Danh sách sinh viên</t>
  </si>
  <si>
    <t>Bảng thống kê theo điểm chữ</t>
  </si>
  <si>
    <t>Số lượng sinh viên</t>
  </si>
  <si>
    <t>Bảng thống kê theo SV</t>
  </si>
  <si>
    <t>Số sinh viên điểm BT lớn = 0 hoặc điểm LT = -3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</si>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</sst>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2"/>
      <name val="Times New Roman"/>
    </font>
    <font>
      <b/>
      <sz val="12"/>
      <name val="Times New Roman"/>
    </font>
    <font>
      <b/>
      <sz val="10"/>
      <name val="Times New Roman"/>
    </font>
    <font>
      <sz val="11"/>
      <name val="Times New Roman"/>
    </font>
    <font>
      <sz val="10"/>
      <name val="Times New Roman"/>
    </font>
    <font>
      <b/>
      <sz val="1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4BFCB"/>
      </patternFill>
    </fill>
    <fill>
      <patternFill patternType="solid">
        <fgColor rgb="FFDDEBF7"/>
      </patternFill>
    </fill>
    <fill>
      <patternFill patternType="solid">
        <fgColor rgb="FFF4B183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Thống kê tổng số lượng Sinh viên theo điểm chữ</a:t>
            </a:r>
            <a:endParaRPr lang="en-US"/>
          </a:p>
        </c:rich>
      </c:tx>
      <c:layout>
        <c:manualLayout>
          <c:xMode val="edge"/>
          <c:yMode val="edge"/>
          <c:x val="8.1333333333333327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DA-4C6D-A35B-93C3BB5B4C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DA-4C6D-A35B-93C3BB5B4C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DA-4C6D-A35B-93C3BB5B4C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DA-4C6D-A35B-93C3BB5B4C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DA-4C6D-A35B-93C3BB5B4C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DA-4C6D-A35B-93C3BB5B4C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DA-4C6D-A35B-93C3BB5B4C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DA-4C6D-A35B-93C3BB5B4C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kê'!$E$16:$E$23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kê'!$F$16:$F$23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2-45A9-8D26-9B341BBB3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12</xdr:row>
      <xdr:rowOff>26670</xdr:rowOff>
    </xdr:from>
    <xdr:to>
      <xdr:col>17</xdr:col>
      <xdr:colOff>99060</xdr:colOff>
      <xdr:row>23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B4D4BB-BD41-7B04-A0EB-A9A3E789D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showGridLines="0" zoomScale="101" workbookViewId="0">
      <pane xSplit="12" ySplit="6" topLeftCell="M15" activePane="bottomRight" state="frozen"/>
      <selection pane="topRight" activeCell="M1" sqref="M1"/>
      <selection pane="bottomLeft" activeCell="A7" sqref="A7"/>
      <selection pane="bottomRight" activeCell="C7" sqref="C7"/>
    </sheetView>
  </sheetViews>
  <sheetFormatPr defaultRowHeight="14.4" x14ac:dyDescent="0.3"/>
  <cols>
    <col min="1" max="1" width="5.44140625" customWidth="1"/>
    <col min="2" max="2" width="15.44140625" customWidth="1"/>
    <col min="3" max="3" width="17.21875" customWidth="1"/>
    <col min="4" max="9" width="7" customWidth="1"/>
    <col min="10" max="10" width="7.44140625" customWidth="1"/>
    <col min="11" max="11" width="7" customWidth="1"/>
  </cols>
  <sheetData>
    <row r="1" spans="1:11" ht="25.95" customHeight="1" x14ac:dyDescent="0.3">
      <c r="A1" s="1"/>
      <c r="B1" s="26" t="s">
        <v>0</v>
      </c>
      <c r="C1" s="27"/>
      <c r="D1" s="27"/>
      <c r="E1" s="27"/>
      <c r="F1" s="27"/>
      <c r="G1" s="27"/>
      <c r="H1" s="27"/>
      <c r="I1" s="27"/>
      <c r="J1" s="1"/>
      <c r="K1" s="1"/>
    </row>
    <row r="2" spans="1:11" ht="22.05" customHeight="1" x14ac:dyDescent="0.3">
      <c r="A2" s="1"/>
      <c r="B2" s="1"/>
      <c r="C2" s="1"/>
      <c r="D2" s="28" t="s">
        <v>1</v>
      </c>
      <c r="E2" s="23"/>
      <c r="F2" s="28" t="s">
        <v>2</v>
      </c>
      <c r="G2" s="22"/>
      <c r="H2" s="23"/>
      <c r="I2" s="1"/>
      <c r="J2" s="1"/>
      <c r="K2" s="1"/>
    </row>
    <row r="3" spans="1:11" ht="22.05" customHeight="1" x14ac:dyDescent="0.3">
      <c r="A3" s="1"/>
      <c r="B3" s="2" t="s">
        <v>3</v>
      </c>
      <c r="C3" s="2" t="s">
        <v>4</v>
      </c>
      <c r="D3" s="28" t="s">
        <v>5</v>
      </c>
      <c r="E3" s="23"/>
      <c r="F3" s="28" t="s">
        <v>6</v>
      </c>
      <c r="G3" s="22"/>
      <c r="H3" s="23"/>
      <c r="I3" s="1"/>
      <c r="J3" s="1"/>
      <c r="K3" s="1"/>
    </row>
    <row r="4" spans="1:11" ht="22.05" customHeight="1" x14ac:dyDescent="0.3">
      <c r="A4" s="1"/>
      <c r="B4" s="2" t="s">
        <v>7</v>
      </c>
      <c r="C4" s="2" t="s">
        <v>8</v>
      </c>
      <c r="D4" s="28" t="s">
        <v>9</v>
      </c>
      <c r="E4" s="23"/>
      <c r="F4" s="28" t="s">
        <v>10</v>
      </c>
      <c r="G4" s="22"/>
      <c r="H4" s="23"/>
      <c r="I4" s="1"/>
      <c r="J4" s="1"/>
      <c r="K4" s="1"/>
    </row>
    <row r="5" spans="1:11" ht="22.05" customHeight="1" x14ac:dyDescent="0.3">
      <c r="A5" s="1"/>
      <c r="C5" s="1"/>
      <c r="D5" s="1"/>
      <c r="E5" s="1"/>
      <c r="F5" s="1"/>
      <c r="G5" s="1"/>
      <c r="H5" s="1"/>
      <c r="I5" s="1"/>
      <c r="J5" s="1"/>
      <c r="K5" s="1"/>
    </row>
    <row r="6" spans="1:11" ht="95.4" customHeight="1" x14ac:dyDescent="0.3">
      <c r="A6" s="3" t="s">
        <v>11</v>
      </c>
      <c r="B6" s="3" t="s">
        <v>11</v>
      </c>
      <c r="C6" s="3" t="s">
        <v>11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</row>
    <row r="7" spans="1:11" ht="22.05" customHeight="1" x14ac:dyDescent="0.3">
      <c r="A7" s="2">
        <v>1</v>
      </c>
      <c r="B7" s="4" t="s">
        <v>22</v>
      </c>
      <c r="C7" s="4" t="s">
        <v>43</v>
      </c>
      <c r="D7" s="7">
        <v>0.45</v>
      </c>
      <c r="E7" s="7">
        <v>0.25</v>
      </c>
      <c r="F7" s="7">
        <v>0.3</v>
      </c>
      <c r="G7" s="7">
        <v>0.5</v>
      </c>
      <c r="H7" s="7">
        <v>4.2</v>
      </c>
      <c r="I7" s="7">
        <f>SUM(D7:G7)+0.6*H7</f>
        <v>4.0199999999999996</v>
      </c>
      <c r="J7" s="5">
        <f>IF(OR(G7=0,VALUE(LEFT(B7,1))&gt;2),0,I7+VLOOKUP(VALUE(LEFT(B7,1)),'Các bảng tham chiếu &amp; Thống kê'!$E$3:$F$5,2,FALSE))</f>
        <v>5.0199999999999996</v>
      </c>
      <c r="K7" s="5" t="str">
        <f>IF(J7&gt;=10,"A+",IF(J7&gt;=9,"A",IF(J7&gt;=8.5,"A-",IF(J7&gt;=8,"B+",IF(J7&gt;=7,"B",IF(J7&gt;=6.5,"C+",IF(J7&gt;=5.5,"C",IF(J7&gt;=5,"D+",IF(J7&gt;=4,"D","F")))))))))</f>
        <v>D+</v>
      </c>
    </row>
    <row r="8" spans="1:11" ht="22.05" customHeight="1" x14ac:dyDescent="0.3">
      <c r="A8" s="2">
        <v>2</v>
      </c>
      <c r="B8" s="4" t="s">
        <v>23</v>
      </c>
      <c r="C8" s="4" t="s">
        <v>45</v>
      </c>
      <c r="D8" s="7">
        <v>0.5</v>
      </c>
      <c r="E8" s="7">
        <v>0.35</v>
      </c>
      <c r="F8" s="7">
        <v>0.4</v>
      </c>
      <c r="G8" s="7">
        <v>1</v>
      </c>
      <c r="H8" s="7">
        <v>5.8</v>
      </c>
      <c r="I8" s="7">
        <f t="shared" ref="I8:I20" si="0">SUM(D8:G8)+0.6*H8</f>
        <v>5.73</v>
      </c>
      <c r="J8" s="5">
        <f>IF(OR(G8=0,VALUE(LEFT(B8,1))&gt;2),0,I8+VLOOKUP(VALUE(LEFT(B8,1)),'Các bảng tham chiếu &amp; Thống kê'!$E$3:$F$5,2,FALSE))</f>
        <v>6.23</v>
      </c>
      <c r="K8" s="5" t="str">
        <f t="shared" ref="K8:K20" si="1">IF(J8&gt;=10,"A+",IF(J8&gt;=9,"A",IF(J8&gt;=8.5,"A-",IF(J8&gt;=8,"B+",IF(J8&gt;=7,"B",IF(J8&gt;=6.5,"C+",IF(J8&gt;=5.5,"C",IF(J8&gt;=5,"D+",IF(J8&gt;=4,"D","F")))))))))</f>
        <v>C</v>
      </c>
    </row>
    <row r="9" spans="1:11" ht="22.05" customHeight="1" x14ac:dyDescent="0.3">
      <c r="A9" s="2">
        <v>3</v>
      </c>
      <c r="B9" s="4" t="s">
        <v>24</v>
      </c>
      <c r="C9" s="4" t="s">
        <v>47</v>
      </c>
      <c r="D9" s="7">
        <v>0.25</v>
      </c>
      <c r="E9" s="7">
        <v>0.25</v>
      </c>
      <c r="F9" s="7">
        <v>0.3</v>
      </c>
      <c r="G9" s="7">
        <v>0.5</v>
      </c>
      <c r="H9" s="7">
        <v>5.8</v>
      </c>
      <c r="I9" s="7">
        <f t="shared" si="0"/>
        <v>4.78</v>
      </c>
      <c r="J9" s="5">
        <f>IF(OR(G9=0,VALUE(LEFT(B9,1))&gt;2),0,I9+VLOOKUP(VALUE(LEFT(B9,1)),'Các bảng tham chiếu &amp; Thống kê'!$E$3:$F$5,2,FALSE))</f>
        <v>5.78</v>
      </c>
      <c r="K9" s="5" t="str">
        <f t="shared" si="1"/>
        <v>C</v>
      </c>
    </row>
    <row r="10" spans="1:11" ht="22.05" customHeight="1" x14ac:dyDescent="0.3">
      <c r="A10" s="2">
        <v>4</v>
      </c>
      <c r="B10" s="4" t="s">
        <v>25</v>
      </c>
      <c r="C10" s="4" t="s">
        <v>49</v>
      </c>
      <c r="D10" s="7">
        <v>0.4</v>
      </c>
      <c r="E10" s="7">
        <v>0.25</v>
      </c>
      <c r="F10" s="7">
        <v>0.35</v>
      </c>
      <c r="G10" s="7">
        <v>1</v>
      </c>
      <c r="H10" s="7">
        <v>4.5</v>
      </c>
      <c r="I10" s="7">
        <f t="shared" si="0"/>
        <v>4.6999999999999993</v>
      </c>
      <c r="J10" s="5">
        <f>IF(OR(G10=0,VALUE(LEFT(B10,1))&gt;2),0,I10+VLOOKUP(VALUE(LEFT(B10,1)),'Các bảng tham chiếu &amp; Thống kê'!$E$3:$F$5,2,FALSE))</f>
        <v>5.6999999999999993</v>
      </c>
      <c r="K10" s="5" t="str">
        <f t="shared" si="1"/>
        <v>C</v>
      </c>
    </row>
    <row r="11" spans="1:11" ht="22.05" customHeight="1" x14ac:dyDescent="0.3">
      <c r="A11" s="2">
        <v>5</v>
      </c>
      <c r="B11" s="4" t="s">
        <v>26</v>
      </c>
      <c r="C11" s="4" t="s">
        <v>51</v>
      </c>
      <c r="D11" s="7">
        <v>0.45</v>
      </c>
      <c r="E11" s="7">
        <v>0.4</v>
      </c>
      <c r="F11" s="7">
        <v>0.35</v>
      </c>
      <c r="G11" s="7">
        <v>0.75</v>
      </c>
      <c r="H11" s="7">
        <v>5.5</v>
      </c>
      <c r="I11" s="7">
        <f t="shared" si="0"/>
        <v>5.25</v>
      </c>
      <c r="J11" s="5">
        <f>IF(OR(G11=0,VALUE(LEFT(B11,1))&gt;2),0,I11+VLOOKUP(VALUE(LEFT(B11,1)),'Các bảng tham chiếu &amp; Thống kê'!$E$3:$F$5,2,FALSE))</f>
        <v>5.5</v>
      </c>
      <c r="K11" s="5" t="str">
        <f t="shared" si="1"/>
        <v>C</v>
      </c>
    </row>
    <row r="12" spans="1:11" ht="22.05" customHeight="1" x14ac:dyDescent="0.3">
      <c r="A12" s="2">
        <v>6</v>
      </c>
      <c r="B12" s="4" t="s">
        <v>27</v>
      </c>
      <c r="C12" s="4" t="s">
        <v>53</v>
      </c>
      <c r="D12" s="7">
        <v>0.4</v>
      </c>
      <c r="E12" s="7">
        <v>0.45</v>
      </c>
      <c r="F12" s="7">
        <v>0.5</v>
      </c>
      <c r="G12" s="7">
        <v>1.2</v>
      </c>
      <c r="H12" s="7">
        <v>7.5</v>
      </c>
      <c r="I12" s="7">
        <f t="shared" si="0"/>
        <v>7.05</v>
      </c>
      <c r="J12" s="5">
        <f>IF(OR(G12=0,VALUE(LEFT(B12,1))&gt;2),0,I12+VLOOKUP(VALUE(LEFT(B12,1)),'Các bảng tham chiếu &amp; Thống kê'!$E$3:$F$5,2,FALSE))</f>
        <v>8.0500000000000007</v>
      </c>
      <c r="K12" s="5" t="str">
        <f t="shared" si="1"/>
        <v>B+</v>
      </c>
    </row>
    <row r="13" spans="1:11" ht="22.05" customHeight="1" x14ac:dyDescent="0.3">
      <c r="A13" s="2">
        <v>7</v>
      </c>
      <c r="B13" s="4" t="s">
        <v>28</v>
      </c>
      <c r="C13" s="4" t="s">
        <v>55</v>
      </c>
      <c r="D13" s="7">
        <v>0.4</v>
      </c>
      <c r="E13" s="7">
        <v>0.4</v>
      </c>
      <c r="F13" s="7">
        <v>0.4</v>
      </c>
      <c r="G13" s="7">
        <v>1</v>
      </c>
      <c r="H13" s="7">
        <v>5.3</v>
      </c>
      <c r="I13" s="7">
        <f t="shared" si="0"/>
        <v>5.38</v>
      </c>
      <c r="J13" s="5">
        <f>IF(OR(G13=0,VALUE(LEFT(B13,1))&gt;2),0,I13+VLOOKUP(VALUE(LEFT(B13,1)),'Các bảng tham chiếu &amp; Thống kê'!$E$3:$F$5,2,FALSE))</f>
        <v>6.38</v>
      </c>
      <c r="K13" s="5" t="str">
        <f t="shared" si="1"/>
        <v>C</v>
      </c>
    </row>
    <row r="14" spans="1:11" ht="22.05" customHeight="1" x14ac:dyDescent="0.3">
      <c r="A14" s="2">
        <v>8</v>
      </c>
      <c r="B14" s="4" t="s">
        <v>29</v>
      </c>
      <c r="C14" s="4" t="s">
        <v>57</v>
      </c>
      <c r="D14" s="7">
        <v>0.45</v>
      </c>
      <c r="E14" s="7">
        <v>0.4</v>
      </c>
      <c r="F14" s="7">
        <v>0.45</v>
      </c>
      <c r="G14" s="7">
        <v>0</v>
      </c>
      <c r="H14" s="7">
        <v>6.8</v>
      </c>
      <c r="I14" s="7">
        <f t="shared" si="0"/>
        <v>5.38</v>
      </c>
      <c r="J14" s="5">
        <f>IF(OR(G14=0,VALUE(LEFT(B14,1))&gt;2),0,I14+VLOOKUP(VALUE(LEFT(B14,1)),'Các bảng tham chiếu &amp; Thống kê'!$E$3:$F$5,2,FALSE))</f>
        <v>0</v>
      </c>
      <c r="K14" s="5" t="str">
        <f t="shared" si="1"/>
        <v>F</v>
      </c>
    </row>
    <row r="15" spans="1:11" ht="22.05" customHeight="1" x14ac:dyDescent="0.3">
      <c r="A15" s="2">
        <v>9</v>
      </c>
      <c r="B15" s="4" t="s">
        <v>30</v>
      </c>
      <c r="C15" s="4" t="s">
        <v>59</v>
      </c>
      <c r="D15" s="7">
        <v>0.45</v>
      </c>
      <c r="E15" s="7">
        <v>0.4</v>
      </c>
      <c r="F15" s="7">
        <v>0.4</v>
      </c>
      <c r="G15" s="7">
        <v>0.75</v>
      </c>
      <c r="H15" s="7">
        <v>6.3</v>
      </c>
      <c r="I15" s="7">
        <f t="shared" si="0"/>
        <v>5.7799999999999994</v>
      </c>
      <c r="J15" s="5">
        <f>IF(OR(G15=0,VALUE(LEFT(B15,1))&gt;2),0,I15+VLOOKUP(VALUE(LEFT(B15,1)),'Các bảng tham chiếu &amp; Thống kê'!$E$3:$F$5,2,FALSE))</f>
        <v>6.7799999999999994</v>
      </c>
      <c r="K15" s="5" t="str">
        <f t="shared" si="1"/>
        <v>C+</v>
      </c>
    </row>
    <row r="16" spans="1:11" ht="22.05" customHeight="1" x14ac:dyDescent="0.3">
      <c r="A16" s="2">
        <v>10</v>
      </c>
      <c r="B16" s="4" t="s">
        <v>31</v>
      </c>
      <c r="C16" s="4" t="s">
        <v>61</v>
      </c>
      <c r="D16" s="7">
        <v>0.3</v>
      </c>
      <c r="E16" s="7">
        <v>0.5</v>
      </c>
      <c r="F16" s="7">
        <v>0.45</v>
      </c>
      <c r="G16" s="7">
        <v>0.3</v>
      </c>
      <c r="H16" s="7">
        <v>8.3000000000000007</v>
      </c>
      <c r="I16" s="7">
        <f t="shared" si="0"/>
        <v>6.53</v>
      </c>
      <c r="J16" s="5">
        <f>IF(OR(G16=0,VALUE(LEFT(B16,1))&gt;2),0,I16+VLOOKUP(VALUE(LEFT(B16,1)),'Các bảng tham chiếu &amp; Thống kê'!$E$3:$F$5,2,FALSE))</f>
        <v>7.03</v>
      </c>
      <c r="K16" s="5" t="str">
        <f t="shared" si="1"/>
        <v>B</v>
      </c>
    </row>
    <row r="17" spans="1:11" ht="22.05" customHeight="1" x14ac:dyDescent="0.3">
      <c r="A17" s="2">
        <v>11</v>
      </c>
      <c r="B17" s="4" t="s">
        <v>32</v>
      </c>
      <c r="C17" s="4" t="s">
        <v>63</v>
      </c>
      <c r="D17" s="7">
        <v>0.4</v>
      </c>
      <c r="E17" s="7">
        <v>0.45</v>
      </c>
      <c r="F17" s="7">
        <v>0.4</v>
      </c>
      <c r="G17" s="7">
        <v>0.3</v>
      </c>
      <c r="H17" s="7">
        <v>-3</v>
      </c>
      <c r="I17" s="7">
        <v>0</v>
      </c>
      <c r="J17" s="5">
        <f>IF(OR(G17=0,VALUE(LEFT(B17,1))&gt;2),0,I17+VLOOKUP(VALUE(LEFT(B17,1)),'Các bảng tham chiếu &amp; Thống kê'!$E$3:$F$5,2,FALSE))</f>
        <v>0</v>
      </c>
      <c r="K17" s="5" t="str">
        <f t="shared" si="1"/>
        <v>F</v>
      </c>
    </row>
    <row r="18" spans="1:11" ht="22.05" customHeight="1" x14ac:dyDescent="0.3">
      <c r="A18" s="2">
        <v>12</v>
      </c>
      <c r="B18" s="4" t="s">
        <v>33</v>
      </c>
      <c r="C18" s="4" t="s">
        <v>65</v>
      </c>
      <c r="D18" s="7">
        <v>0.5</v>
      </c>
      <c r="E18" s="7">
        <v>0.5</v>
      </c>
      <c r="F18" s="7">
        <v>0.45</v>
      </c>
      <c r="G18" s="7">
        <v>1.5</v>
      </c>
      <c r="H18" s="7">
        <v>7</v>
      </c>
      <c r="I18" s="7">
        <f t="shared" si="0"/>
        <v>7.15</v>
      </c>
      <c r="J18" s="5">
        <f>IF(OR(G18=0,VALUE(LEFT(B18,1))&gt;2),0,I18+VLOOKUP(VALUE(LEFT(B18,1)),'Các bảng tham chiếu &amp; Thống kê'!$E$3:$F$5,2,FALSE))</f>
        <v>7.4</v>
      </c>
      <c r="K18" s="5" t="str">
        <f t="shared" si="1"/>
        <v>B</v>
      </c>
    </row>
    <row r="19" spans="1:11" ht="22.05" customHeight="1" x14ac:dyDescent="0.3">
      <c r="A19" s="2">
        <v>13</v>
      </c>
      <c r="B19" s="4" t="s">
        <v>34</v>
      </c>
      <c r="C19" s="4" t="s">
        <v>67</v>
      </c>
      <c r="D19" s="7">
        <v>0.4</v>
      </c>
      <c r="E19" s="7">
        <v>0.4</v>
      </c>
      <c r="F19" s="7">
        <v>0.35</v>
      </c>
      <c r="G19" s="7">
        <v>1.35</v>
      </c>
      <c r="H19" s="7">
        <v>-3</v>
      </c>
      <c r="I19" s="7">
        <v>0</v>
      </c>
      <c r="J19" s="5">
        <f>IF(OR(G19=0,VALUE(LEFT(B19,1))&gt;2),0,I19+VLOOKUP(VALUE(LEFT(B19,1)),'Các bảng tham chiếu &amp; Thống kê'!$E$3:$F$5,2,FALSE))</f>
        <v>0</v>
      </c>
      <c r="K19" s="5" t="str">
        <f>IF(J19&gt;=10,"A+",IF(J19&gt;=9,"A",IF(J19&gt;=8.5,"A-",IF(J19&gt;=8,"B+",IF(J19&gt;=7,"B",IF(J19&gt;=6.5,"C+",IF(J19&gt;=5.5,"C",IF(J19&gt;=5,"D+",IF(J19&gt;=4,"D","F")))))))))</f>
        <v>F</v>
      </c>
    </row>
    <row r="20" spans="1:11" ht="22.05" customHeight="1" x14ac:dyDescent="0.3">
      <c r="A20" s="2">
        <v>14</v>
      </c>
      <c r="B20" s="4" t="s">
        <v>35</v>
      </c>
      <c r="C20" s="4" t="s">
        <v>69</v>
      </c>
      <c r="D20" s="7">
        <v>0.35</v>
      </c>
      <c r="E20" s="7">
        <v>0.4</v>
      </c>
      <c r="F20" s="7">
        <v>0</v>
      </c>
      <c r="G20" s="7">
        <v>0.85</v>
      </c>
      <c r="H20" s="7">
        <v>6.5</v>
      </c>
      <c r="I20" s="7">
        <f t="shared" si="0"/>
        <v>5.5</v>
      </c>
      <c r="J20" s="5">
        <f>IF(OR(G20=0,VALUE(LEFT(B20,1))&gt;2),0,I20+VLOOKUP(VALUE(LEFT(B20,1)),'Các bảng tham chiếu &amp; Thống kê'!$E$3:$F$5,2,FALSE))</f>
        <v>6.5</v>
      </c>
      <c r="K20" s="5" t="str">
        <f t="shared" si="1"/>
        <v>C+</v>
      </c>
    </row>
    <row r="21" spans="1:11" ht="15.6" x14ac:dyDescent="0.3">
      <c r="H21" s="7"/>
    </row>
  </sheetData>
  <mergeCells count="7">
    <mergeCell ref="B1:I1"/>
    <mergeCell ref="D2:E2"/>
    <mergeCell ref="D3:E3"/>
    <mergeCell ref="F4:H4"/>
    <mergeCell ref="F2:H2"/>
    <mergeCell ref="D4:E4"/>
    <mergeCell ref="F3:H3"/>
  </mergeCells>
  <pageMargins left="0.25" right="0.25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6"/>
  <sheetViews>
    <sheetView showGridLines="0" workbookViewId="0">
      <pane ySplit="2" topLeftCell="A3" activePane="bottomLeft" state="frozen"/>
      <selection pane="bottomLeft" activeCell="F3" sqref="F3:F16"/>
    </sheetView>
  </sheetViews>
  <sheetFormatPr defaultRowHeight="14.4" x14ac:dyDescent="0.3"/>
  <cols>
    <col min="1" max="1" width="7" customWidth="1"/>
    <col min="2" max="2" width="14" customWidth="1"/>
    <col min="3" max="3" width="27" customWidth="1"/>
    <col min="4" max="6" width="14" customWidth="1"/>
  </cols>
  <sheetData>
    <row r="1" spans="1:6" ht="25.95" customHeight="1" x14ac:dyDescent="0.3">
      <c r="A1" s="29" t="s">
        <v>36</v>
      </c>
      <c r="B1" s="30"/>
      <c r="C1" s="30"/>
      <c r="D1" s="30"/>
      <c r="E1" s="30"/>
      <c r="F1" s="30"/>
    </row>
    <row r="2" spans="1:6" ht="25.05" customHeight="1" x14ac:dyDescent="0.3">
      <c r="A2" s="6" t="s">
        <v>37</v>
      </c>
      <c r="B2" s="6" t="s">
        <v>12</v>
      </c>
      <c r="C2" s="6" t="s">
        <v>38</v>
      </c>
      <c r="D2" s="6" t="s">
        <v>39</v>
      </c>
      <c r="E2" s="6" t="s">
        <v>40</v>
      </c>
      <c r="F2" s="6" t="s">
        <v>41</v>
      </c>
    </row>
    <row r="3" spans="1:6" ht="22.95" customHeight="1" x14ac:dyDescent="0.3">
      <c r="A3" s="2">
        <v>1</v>
      </c>
      <c r="B3" s="2" t="s">
        <v>42</v>
      </c>
      <c r="C3" s="4" t="s">
        <v>43</v>
      </c>
      <c r="D3" s="7">
        <v>0.45</v>
      </c>
      <c r="E3" s="7">
        <v>0.25</v>
      </c>
      <c r="F3" s="7">
        <v>0.3</v>
      </c>
    </row>
    <row r="4" spans="1:6" ht="22.95" customHeight="1" x14ac:dyDescent="0.3">
      <c r="A4" s="2">
        <v>2</v>
      </c>
      <c r="B4" s="2" t="s">
        <v>44</v>
      </c>
      <c r="C4" s="4" t="s">
        <v>45</v>
      </c>
      <c r="D4" s="7">
        <v>0.5</v>
      </c>
      <c r="E4" s="7">
        <v>0.35</v>
      </c>
      <c r="F4" s="7">
        <v>0.4</v>
      </c>
    </row>
    <row r="5" spans="1:6" ht="22.95" customHeight="1" x14ac:dyDescent="0.3">
      <c r="A5" s="2">
        <v>3</v>
      </c>
      <c r="B5" s="2" t="s">
        <v>46</v>
      </c>
      <c r="C5" s="4" t="s">
        <v>47</v>
      </c>
      <c r="D5" s="7">
        <v>0.25</v>
      </c>
      <c r="E5" s="7">
        <v>0.25</v>
      </c>
      <c r="F5" s="7">
        <v>0.3</v>
      </c>
    </row>
    <row r="6" spans="1:6" ht="22.95" customHeight="1" x14ac:dyDescent="0.3">
      <c r="A6" s="2">
        <v>4</v>
      </c>
      <c r="B6" s="2" t="s">
        <v>48</v>
      </c>
      <c r="C6" s="4" t="s">
        <v>49</v>
      </c>
      <c r="D6" s="7">
        <v>0.4</v>
      </c>
      <c r="E6" s="7">
        <v>0.25</v>
      </c>
      <c r="F6" s="7">
        <v>0.35</v>
      </c>
    </row>
    <row r="7" spans="1:6" ht="22.95" customHeight="1" x14ac:dyDescent="0.3">
      <c r="A7" s="2">
        <v>5</v>
      </c>
      <c r="B7" s="2" t="s">
        <v>50</v>
      </c>
      <c r="C7" s="4" t="s">
        <v>51</v>
      </c>
      <c r="D7" s="7">
        <v>0.45</v>
      </c>
      <c r="E7" s="7">
        <v>0.4</v>
      </c>
      <c r="F7" s="7">
        <v>0.35</v>
      </c>
    </row>
    <row r="8" spans="1:6" ht="22.95" customHeight="1" x14ac:dyDescent="0.3">
      <c r="A8" s="2">
        <v>6</v>
      </c>
      <c r="B8" s="2" t="s">
        <v>52</v>
      </c>
      <c r="C8" s="4" t="s">
        <v>53</v>
      </c>
      <c r="D8" s="7">
        <v>0.4</v>
      </c>
      <c r="E8" s="7">
        <v>0.45</v>
      </c>
      <c r="F8" s="7">
        <v>0.5</v>
      </c>
    </row>
    <row r="9" spans="1:6" ht="22.95" customHeight="1" x14ac:dyDescent="0.3">
      <c r="A9" s="2">
        <v>7</v>
      </c>
      <c r="B9" s="2" t="s">
        <v>54</v>
      </c>
      <c r="C9" s="4" t="s">
        <v>55</v>
      </c>
      <c r="D9" s="7">
        <v>0.4</v>
      </c>
      <c r="E9" s="7">
        <v>0.4</v>
      </c>
      <c r="F9" s="7">
        <v>0.4</v>
      </c>
    </row>
    <row r="10" spans="1:6" ht="22.95" customHeight="1" x14ac:dyDescent="0.3">
      <c r="A10" s="2">
        <v>8</v>
      </c>
      <c r="B10" s="2" t="s">
        <v>56</v>
      </c>
      <c r="C10" s="4" t="s">
        <v>57</v>
      </c>
      <c r="D10" s="7">
        <v>0.45</v>
      </c>
      <c r="E10" s="7">
        <v>0.4</v>
      </c>
      <c r="F10" s="7">
        <v>0.45</v>
      </c>
    </row>
    <row r="11" spans="1:6" ht="22.95" customHeight="1" x14ac:dyDescent="0.3">
      <c r="A11" s="2">
        <v>9</v>
      </c>
      <c r="B11" s="2" t="s">
        <v>58</v>
      </c>
      <c r="C11" s="4" t="s">
        <v>59</v>
      </c>
      <c r="D11" s="7">
        <v>0.45</v>
      </c>
      <c r="E11" s="7">
        <v>0.4</v>
      </c>
      <c r="F11" s="7">
        <v>0.4</v>
      </c>
    </row>
    <row r="12" spans="1:6" ht="22.95" customHeight="1" x14ac:dyDescent="0.3">
      <c r="A12" s="2">
        <v>10</v>
      </c>
      <c r="B12" s="2" t="s">
        <v>60</v>
      </c>
      <c r="C12" s="4" t="s">
        <v>61</v>
      </c>
      <c r="D12" s="7">
        <v>0.3</v>
      </c>
      <c r="E12" s="7">
        <v>0.5</v>
      </c>
      <c r="F12" s="7">
        <v>0.45</v>
      </c>
    </row>
    <row r="13" spans="1:6" ht="22.95" customHeight="1" x14ac:dyDescent="0.3">
      <c r="A13" s="2">
        <v>11</v>
      </c>
      <c r="B13" s="2" t="s">
        <v>62</v>
      </c>
      <c r="C13" s="4" t="s">
        <v>63</v>
      </c>
      <c r="D13" s="7">
        <v>0.4</v>
      </c>
      <c r="E13" s="7">
        <v>0.45</v>
      </c>
      <c r="F13" s="7">
        <v>0.4</v>
      </c>
    </row>
    <row r="14" spans="1:6" ht="22.95" customHeight="1" x14ac:dyDescent="0.3">
      <c r="A14" s="2">
        <v>12</v>
      </c>
      <c r="B14" s="2" t="s">
        <v>64</v>
      </c>
      <c r="C14" s="4" t="s">
        <v>65</v>
      </c>
      <c r="D14" s="7">
        <v>0.5</v>
      </c>
      <c r="E14" s="7">
        <v>0.5</v>
      </c>
      <c r="F14" s="7">
        <v>0.45</v>
      </c>
    </row>
    <row r="15" spans="1:6" ht="22.95" customHeight="1" x14ac:dyDescent="0.3">
      <c r="A15" s="2">
        <v>13</v>
      </c>
      <c r="B15" s="2" t="s">
        <v>66</v>
      </c>
      <c r="C15" s="4" t="s">
        <v>67</v>
      </c>
      <c r="D15" s="7">
        <v>0.4</v>
      </c>
      <c r="E15" s="7">
        <v>0.4</v>
      </c>
      <c r="F15" s="7">
        <v>0.35</v>
      </c>
    </row>
    <row r="16" spans="1:6" ht="22.95" customHeight="1" x14ac:dyDescent="0.3">
      <c r="A16" s="2">
        <v>14</v>
      </c>
      <c r="B16" s="2" t="s">
        <v>68</v>
      </c>
      <c r="C16" s="4" t="s">
        <v>69</v>
      </c>
      <c r="D16" s="7">
        <v>0.35</v>
      </c>
      <c r="E16" s="7">
        <v>0.4</v>
      </c>
      <c r="F16" s="7">
        <v>0</v>
      </c>
    </row>
  </sheetData>
  <autoFilter ref="A2:F16" xr:uid="{00000000-0009-0000-0000-000001000000}"/>
  <mergeCells count="1">
    <mergeCell ref="A1:F1"/>
  </mergeCells>
  <pageMargins left="0.25" right="0.25" top="0.4" bottom="0.4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6"/>
  <sheetViews>
    <sheetView showGridLines="0" workbookViewId="0">
      <pane ySplit="2" topLeftCell="A3" activePane="bottomLeft" state="frozen"/>
      <selection pane="bottomLeft" activeCell="D3" sqref="D3:D16"/>
    </sheetView>
  </sheetViews>
  <sheetFormatPr defaultRowHeight="14.4" x14ac:dyDescent="0.3"/>
  <cols>
    <col min="1" max="1" width="7" customWidth="1"/>
    <col min="2" max="2" width="14" customWidth="1"/>
    <col min="3" max="3" width="27" customWidth="1"/>
    <col min="4" max="4" width="18" customWidth="1"/>
  </cols>
  <sheetData>
    <row r="1" spans="1:4" ht="22.95" customHeight="1" x14ac:dyDescent="0.3">
      <c r="A1" s="29" t="s">
        <v>70</v>
      </c>
      <c r="B1" s="22"/>
      <c r="C1" s="22"/>
      <c r="D1" s="23"/>
    </row>
    <row r="2" spans="1:4" ht="22.95" customHeight="1" x14ac:dyDescent="0.3">
      <c r="A2" s="6" t="s">
        <v>37</v>
      </c>
      <c r="B2" s="6" t="s">
        <v>12</v>
      </c>
      <c r="C2" s="6" t="s">
        <v>38</v>
      </c>
      <c r="D2" s="6" t="s">
        <v>71</v>
      </c>
    </row>
    <row r="3" spans="1:4" ht="22.95" customHeight="1" x14ac:dyDescent="0.3">
      <c r="A3" s="2">
        <v>1</v>
      </c>
      <c r="B3" s="2" t="s">
        <v>42</v>
      </c>
      <c r="C3" s="4" t="s">
        <v>43</v>
      </c>
      <c r="D3" s="7">
        <v>0.5</v>
      </c>
    </row>
    <row r="4" spans="1:4" ht="22.95" customHeight="1" x14ac:dyDescent="0.3">
      <c r="A4" s="2">
        <v>2</v>
      </c>
      <c r="B4" s="2" t="s">
        <v>44</v>
      </c>
      <c r="C4" s="4" t="s">
        <v>45</v>
      </c>
      <c r="D4" s="7">
        <v>1</v>
      </c>
    </row>
    <row r="5" spans="1:4" ht="22.95" customHeight="1" x14ac:dyDescent="0.3">
      <c r="A5" s="2">
        <v>3</v>
      </c>
      <c r="B5" s="2" t="s">
        <v>46</v>
      </c>
      <c r="C5" s="4" t="s">
        <v>47</v>
      </c>
      <c r="D5" s="7">
        <v>0.5</v>
      </c>
    </row>
    <row r="6" spans="1:4" ht="22.95" customHeight="1" x14ac:dyDescent="0.3">
      <c r="A6" s="2">
        <v>4</v>
      </c>
      <c r="B6" s="2" t="s">
        <v>48</v>
      </c>
      <c r="C6" s="4" t="s">
        <v>49</v>
      </c>
      <c r="D6" s="7">
        <v>1</v>
      </c>
    </row>
    <row r="7" spans="1:4" ht="22.95" customHeight="1" x14ac:dyDescent="0.3">
      <c r="A7" s="2">
        <v>5</v>
      </c>
      <c r="B7" s="2" t="s">
        <v>50</v>
      </c>
      <c r="C7" s="4" t="s">
        <v>51</v>
      </c>
      <c r="D7" s="7">
        <v>0.75</v>
      </c>
    </row>
    <row r="8" spans="1:4" ht="22.95" customHeight="1" x14ac:dyDescent="0.3">
      <c r="A8" s="2">
        <v>6</v>
      </c>
      <c r="B8" s="2" t="s">
        <v>52</v>
      </c>
      <c r="C8" s="4" t="s">
        <v>53</v>
      </c>
      <c r="D8" s="7">
        <v>1.2</v>
      </c>
    </row>
    <row r="9" spans="1:4" ht="22.95" customHeight="1" x14ac:dyDescent="0.3">
      <c r="A9" s="2">
        <v>7</v>
      </c>
      <c r="B9" s="2" t="s">
        <v>54</v>
      </c>
      <c r="C9" s="4" t="s">
        <v>55</v>
      </c>
      <c r="D9" s="7">
        <v>1</v>
      </c>
    </row>
    <row r="10" spans="1:4" ht="22.95" customHeight="1" x14ac:dyDescent="0.3">
      <c r="A10" s="2">
        <v>8</v>
      </c>
      <c r="B10" s="2" t="s">
        <v>56</v>
      </c>
      <c r="C10" s="4" t="s">
        <v>57</v>
      </c>
      <c r="D10" s="7">
        <v>0</v>
      </c>
    </row>
    <row r="11" spans="1:4" ht="22.95" customHeight="1" x14ac:dyDescent="0.3">
      <c r="A11" s="2">
        <v>9</v>
      </c>
      <c r="B11" s="2" t="s">
        <v>58</v>
      </c>
      <c r="C11" s="4" t="s">
        <v>59</v>
      </c>
      <c r="D11" s="7">
        <v>0.75</v>
      </c>
    </row>
    <row r="12" spans="1:4" ht="22.95" customHeight="1" x14ac:dyDescent="0.3">
      <c r="A12" s="2">
        <v>10</v>
      </c>
      <c r="B12" s="2" t="s">
        <v>60</v>
      </c>
      <c r="C12" s="4" t="s">
        <v>61</v>
      </c>
      <c r="D12" s="7">
        <v>0.3</v>
      </c>
    </row>
    <row r="13" spans="1:4" ht="22.95" customHeight="1" x14ac:dyDescent="0.3">
      <c r="A13" s="2">
        <v>11</v>
      </c>
      <c r="B13" s="2" t="s">
        <v>62</v>
      </c>
      <c r="C13" s="4" t="s">
        <v>63</v>
      </c>
      <c r="D13" s="7">
        <v>0.3</v>
      </c>
    </row>
    <row r="14" spans="1:4" ht="22.95" customHeight="1" x14ac:dyDescent="0.3">
      <c r="A14" s="2">
        <v>12</v>
      </c>
      <c r="B14" s="2" t="s">
        <v>64</v>
      </c>
      <c r="C14" s="4" t="s">
        <v>65</v>
      </c>
      <c r="D14" s="7">
        <v>1.5</v>
      </c>
    </row>
    <row r="15" spans="1:4" ht="22.95" customHeight="1" x14ac:dyDescent="0.3">
      <c r="A15" s="2">
        <v>13</v>
      </c>
      <c r="B15" s="2" t="s">
        <v>66</v>
      </c>
      <c r="C15" s="4" t="s">
        <v>67</v>
      </c>
      <c r="D15" s="7">
        <v>1.35</v>
      </c>
    </row>
    <row r="16" spans="1:4" ht="22.95" customHeight="1" x14ac:dyDescent="0.3">
      <c r="A16" s="2">
        <v>14</v>
      </c>
      <c r="B16" s="2" t="s">
        <v>68</v>
      </c>
      <c r="C16" s="4" t="s">
        <v>69</v>
      </c>
      <c r="D16" s="7">
        <v>0.85</v>
      </c>
    </row>
  </sheetData>
  <autoFilter ref="A2:D16" xr:uid="{00000000-0009-0000-0000-000002000000}"/>
  <mergeCells count="1">
    <mergeCell ref="A1:D1"/>
  </mergeCells>
  <pageMargins left="0.3" right="0.3" top="0.4" bottom="0.4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9"/>
  <sheetViews>
    <sheetView showGridLines="0" workbookViewId="0">
      <pane ySplit="2" topLeftCell="A3" activePane="bottomLeft" state="frozen"/>
      <selection pane="bottomLeft" activeCell="D3" sqref="D3:D16"/>
    </sheetView>
  </sheetViews>
  <sheetFormatPr defaultRowHeight="14.4" x14ac:dyDescent="0.3"/>
  <cols>
    <col min="1" max="1" width="7" customWidth="1"/>
    <col min="2" max="2" width="14" customWidth="1"/>
    <col min="3" max="3" width="27" customWidth="1"/>
    <col min="4" max="4" width="18" customWidth="1"/>
  </cols>
  <sheetData>
    <row r="1" spans="1:4" ht="22.95" customHeight="1" x14ac:dyDescent="0.3">
      <c r="A1" s="31" t="s">
        <v>72</v>
      </c>
      <c r="B1" s="22"/>
      <c r="C1" s="22"/>
      <c r="D1" s="23"/>
    </row>
    <row r="2" spans="1:4" ht="22.95" customHeight="1" x14ac:dyDescent="0.3">
      <c r="A2" s="8" t="s">
        <v>37</v>
      </c>
      <c r="B2" s="8" t="s">
        <v>12</v>
      </c>
      <c r="C2" s="8" t="s">
        <v>13</v>
      </c>
      <c r="D2" s="8" t="s">
        <v>72</v>
      </c>
    </row>
    <row r="3" spans="1:4" ht="22.95" customHeight="1" x14ac:dyDescent="0.3">
      <c r="A3" s="2">
        <v>1</v>
      </c>
      <c r="B3" s="2" t="s">
        <v>42</v>
      </c>
      <c r="C3" s="4" t="s">
        <v>73</v>
      </c>
      <c r="D3" s="7">
        <v>4.2</v>
      </c>
    </row>
    <row r="4" spans="1:4" ht="22.95" customHeight="1" x14ac:dyDescent="0.3">
      <c r="A4" s="2">
        <v>2</v>
      </c>
      <c r="B4" s="2" t="s">
        <v>44</v>
      </c>
      <c r="C4" s="4" t="s">
        <v>45</v>
      </c>
      <c r="D4" s="7">
        <v>5.8</v>
      </c>
    </row>
    <row r="5" spans="1:4" ht="22.95" customHeight="1" x14ac:dyDescent="0.3">
      <c r="A5" s="2">
        <v>3</v>
      </c>
      <c r="B5" s="2" t="s">
        <v>46</v>
      </c>
      <c r="C5" s="4" t="s">
        <v>47</v>
      </c>
      <c r="D5" s="7">
        <v>5.8</v>
      </c>
    </row>
    <row r="6" spans="1:4" ht="22.95" customHeight="1" x14ac:dyDescent="0.3">
      <c r="A6" s="2">
        <v>4</v>
      </c>
      <c r="B6" s="2" t="s">
        <v>48</v>
      </c>
      <c r="C6" s="4" t="s">
        <v>49</v>
      </c>
      <c r="D6" s="7">
        <v>4.5</v>
      </c>
    </row>
    <row r="7" spans="1:4" ht="22.95" customHeight="1" x14ac:dyDescent="0.3">
      <c r="A7" s="2">
        <v>5</v>
      </c>
      <c r="B7" s="2" t="s">
        <v>50</v>
      </c>
      <c r="C7" s="4" t="s">
        <v>51</v>
      </c>
      <c r="D7" s="7">
        <v>5.5</v>
      </c>
    </row>
    <row r="8" spans="1:4" ht="22.95" customHeight="1" x14ac:dyDescent="0.3">
      <c r="A8" s="2">
        <v>6</v>
      </c>
      <c r="B8" s="2" t="s">
        <v>52</v>
      </c>
      <c r="C8" s="4" t="s">
        <v>53</v>
      </c>
      <c r="D8" s="7">
        <v>7.5</v>
      </c>
    </row>
    <row r="9" spans="1:4" ht="22.95" customHeight="1" x14ac:dyDescent="0.3">
      <c r="A9" s="2">
        <v>7</v>
      </c>
      <c r="B9" s="2" t="s">
        <v>54</v>
      </c>
      <c r="C9" s="4" t="s">
        <v>55</v>
      </c>
      <c r="D9" s="7">
        <v>5.3</v>
      </c>
    </row>
    <row r="10" spans="1:4" ht="22.95" customHeight="1" x14ac:dyDescent="0.3">
      <c r="A10" s="2">
        <v>8</v>
      </c>
      <c r="B10" s="2" t="s">
        <v>56</v>
      </c>
      <c r="C10" s="4" t="s">
        <v>57</v>
      </c>
      <c r="D10" s="7">
        <v>6.8</v>
      </c>
    </row>
    <row r="11" spans="1:4" ht="22.95" customHeight="1" x14ac:dyDescent="0.3">
      <c r="A11" s="2">
        <v>9</v>
      </c>
      <c r="B11" s="2" t="s">
        <v>58</v>
      </c>
      <c r="C11" s="4" t="s">
        <v>59</v>
      </c>
      <c r="D11" s="7">
        <v>6.3</v>
      </c>
    </row>
    <row r="12" spans="1:4" ht="22.95" customHeight="1" x14ac:dyDescent="0.3">
      <c r="A12" s="2">
        <v>10</v>
      </c>
      <c r="B12" s="2" t="s">
        <v>60</v>
      </c>
      <c r="C12" s="4" t="s">
        <v>61</v>
      </c>
      <c r="D12" s="7">
        <v>8.3000000000000007</v>
      </c>
    </row>
    <row r="13" spans="1:4" ht="22.95" customHeight="1" x14ac:dyDescent="0.3">
      <c r="A13" s="2">
        <v>11</v>
      </c>
      <c r="B13" s="2" t="s">
        <v>62</v>
      </c>
      <c r="C13" s="4" t="s">
        <v>63</v>
      </c>
      <c r="D13" s="7">
        <v>-3</v>
      </c>
    </row>
    <row r="14" spans="1:4" ht="22.95" customHeight="1" x14ac:dyDescent="0.3">
      <c r="A14" s="2">
        <v>12</v>
      </c>
      <c r="B14" s="2" t="s">
        <v>64</v>
      </c>
      <c r="C14" s="4" t="s">
        <v>65</v>
      </c>
      <c r="D14" s="7">
        <v>7</v>
      </c>
    </row>
    <row r="15" spans="1:4" ht="22.95" customHeight="1" x14ac:dyDescent="0.3">
      <c r="A15" s="2">
        <v>13</v>
      </c>
      <c r="B15" s="2" t="s">
        <v>66</v>
      </c>
      <c r="C15" s="4" t="s">
        <v>67</v>
      </c>
      <c r="D15" s="7">
        <v>-3</v>
      </c>
    </row>
    <row r="16" spans="1:4" ht="22.95" customHeight="1" x14ac:dyDescent="0.3">
      <c r="A16" s="2">
        <v>14</v>
      </c>
      <c r="B16" s="2" t="s">
        <v>68</v>
      </c>
      <c r="C16" s="4" t="s">
        <v>69</v>
      </c>
      <c r="D16" s="7">
        <v>6.5</v>
      </c>
    </row>
    <row r="17" ht="22.95" customHeight="1" x14ac:dyDescent="0.3"/>
    <row r="18" ht="22.95" customHeight="1" x14ac:dyDescent="0.3"/>
    <row r="19" ht="22.95" customHeight="1" x14ac:dyDescent="0.3"/>
    <row r="20" ht="22.95" customHeight="1" x14ac:dyDescent="0.3"/>
    <row r="21" ht="22.95" customHeight="1" x14ac:dyDescent="0.3"/>
    <row r="22" ht="22.95" customHeight="1" x14ac:dyDescent="0.3"/>
    <row r="23" ht="22.95" customHeight="1" x14ac:dyDescent="0.3"/>
    <row r="24" ht="22.95" customHeight="1" x14ac:dyDescent="0.3"/>
    <row r="25" ht="22.95" customHeight="1" x14ac:dyDescent="0.3"/>
    <row r="26" ht="22.95" customHeight="1" x14ac:dyDescent="0.3"/>
    <row r="27" ht="22.95" customHeight="1" x14ac:dyDescent="0.3"/>
    <row r="28" ht="22.95" customHeight="1" x14ac:dyDescent="0.3"/>
    <row r="29" ht="22.95" customHeight="1" x14ac:dyDescent="0.3"/>
    <row r="30" ht="22.95" customHeight="1" x14ac:dyDescent="0.3"/>
    <row r="31" ht="22.95" customHeight="1" x14ac:dyDescent="0.3"/>
    <row r="32" ht="22.95" customHeight="1" x14ac:dyDescent="0.3"/>
    <row r="33" ht="22.95" customHeight="1" x14ac:dyDescent="0.3"/>
    <row r="34" ht="22.95" customHeight="1" x14ac:dyDescent="0.3"/>
    <row r="35" ht="22.95" customHeight="1" x14ac:dyDescent="0.3"/>
    <row r="36" ht="22.95" customHeight="1" x14ac:dyDescent="0.3"/>
    <row r="37" ht="22.95" customHeight="1" x14ac:dyDescent="0.3"/>
    <row r="38" ht="22.95" customHeight="1" x14ac:dyDescent="0.3"/>
    <row r="39" ht="22.95" customHeight="1" x14ac:dyDescent="0.3"/>
  </sheetData>
  <autoFilter ref="A2:D16" xr:uid="{00000000-0009-0000-0000-000003000000}"/>
  <mergeCells count="1">
    <mergeCell ref="A1:D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9"/>
  <sheetViews>
    <sheetView showGridLines="0" tabSelected="1" workbookViewId="0">
      <pane ySplit="2" topLeftCell="A15" activePane="bottomLeft" state="frozen"/>
      <selection pane="bottomLeft" activeCell="F27" sqref="F27"/>
    </sheetView>
  </sheetViews>
  <sheetFormatPr defaultRowHeight="14.4" x14ac:dyDescent="0.3"/>
  <cols>
    <col min="1" max="1" width="7" customWidth="1"/>
    <col min="2" max="3" width="18" customWidth="1"/>
    <col min="4" max="4" width="5" customWidth="1"/>
    <col min="5" max="5" width="18" customWidth="1"/>
    <col min="6" max="6" width="15" customWidth="1"/>
  </cols>
  <sheetData>
    <row r="1" spans="1:7" ht="21" customHeight="1" x14ac:dyDescent="0.3">
      <c r="A1" s="21" t="s">
        <v>74</v>
      </c>
      <c r="B1" s="22"/>
      <c r="C1" s="23"/>
      <c r="E1" s="21" t="s">
        <v>75</v>
      </c>
      <c r="F1" s="23"/>
    </row>
    <row r="2" spans="1:7" ht="25.2" customHeight="1" x14ac:dyDescent="0.3">
      <c r="A2" s="9" t="s">
        <v>76</v>
      </c>
      <c r="B2" s="9" t="s">
        <v>77</v>
      </c>
      <c r="C2" s="9" t="s">
        <v>78</v>
      </c>
      <c r="E2" s="9" t="s">
        <v>79</v>
      </c>
      <c r="F2" s="9" t="s">
        <v>80</v>
      </c>
    </row>
    <row r="3" spans="1:7" ht="21" customHeight="1" x14ac:dyDescent="0.3">
      <c r="A3" s="10">
        <v>10</v>
      </c>
      <c r="B3" s="10" t="s">
        <v>81</v>
      </c>
      <c r="C3" s="10">
        <v>4</v>
      </c>
      <c r="E3" s="10">
        <v>0</v>
      </c>
      <c r="F3" s="10">
        <v>1</v>
      </c>
    </row>
    <row r="4" spans="1:7" ht="21" customHeight="1" x14ac:dyDescent="0.3">
      <c r="A4" s="10">
        <v>9</v>
      </c>
      <c r="B4" s="10" t="s">
        <v>82</v>
      </c>
      <c r="C4" s="10">
        <v>4</v>
      </c>
      <c r="E4" s="10">
        <v>1</v>
      </c>
      <c r="F4" s="10">
        <v>0.5</v>
      </c>
    </row>
    <row r="5" spans="1:7" ht="21" customHeight="1" x14ac:dyDescent="0.3">
      <c r="A5" s="10">
        <v>8.5</v>
      </c>
      <c r="B5" s="10" t="s">
        <v>83</v>
      </c>
      <c r="C5" s="10">
        <v>3.7</v>
      </c>
      <c r="E5" s="10">
        <v>2</v>
      </c>
      <c r="F5" s="10">
        <v>0.25</v>
      </c>
    </row>
    <row r="6" spans="1:7" ht="21" customHeight="1" x14ac:dyDescent="0.3">
      <c r="A6" s="10">
        <v>8</v>
      </c>
      <c r="B6" s="10" t="s">
        <v>84</v>
      </c>
      <c r="C6" s="10">
        <v>3.5</v>
      </c>
    </row>
    <row r="7" spans="1:7" ht="21" customHeight="1" x14ac:dyDescent="0.3">
      <c r="A7" s="10">
        <v>7</v>
      </c>
      <c r="B7" s="10" t="s">
        <v>85</v>
      </c>
      <c r="C7" s="10">
        <v>3</v>
      </c>
    </row>
    <row r="8" spans="1:7" ht="21" customHeight="1" x14ac:dyDescent="0.3">
      <c r="A8" s="10">
        <v>6.5</v>
      </c>
      <c r="B8" s="10" t="s">
        <v>86</v>
      </c>
      <c r="C8" s="10">
        <v>2.5</v>
      </c>
    </row>
    <row r="9" spans="1:7" ht="21" customHeight="1" x14ac:dyDescent="0.3">
      <c r="A9" s="10">
        <v>5.5</v>
      </c>
      <c r="B9" s="10" t="s">
        <v>87</v>
      </c>
      <c r="C9" s="10">
        <v>2</v>
      </c>
    </row>
    <row r="10" spans="1:7" ht="21" customHeight="1" x14ac:dyDescent="0.3">
      <c r="A10" s="10">
        <v>5</v>
      </c>
      <c r="B10" s="10" t="s">
        <v>88</v>
      </c>
      <c r="C10" s="10">
        <v>1.5</v>
      </c>
    </row>
    <row r="11" spans="1:7" ht="21" customHeight="1" x14ac:dyDescent="0.3">
      <c r="A11" s="10">
        <v>4</v>
      </c>
      <c r="B11" s="10" t="s">
        <v>89</v>
      </c>
      <c r="C11" s="10">
        <v>1</v>
      </c>
    </row>
    <row r="12" spans="1:7" ht="21" customHeight="1" x14ac:dyDescent="0.3">
      <c r="A12" s="10">
        <v>0</v>
      </c>
      <c r="B12" s="10" t="s">
        <v>90</v>
      </c>
      <c r="C12" s="10">
        <v>0</v>
      </c>
    </row>
    <row r="13" spans="1:7" ht="21" customHeight="1" x14ac:dyDescent="0.3"/>
    <row r="14" spans="1:7" ht="21" customHeight="1" x14ac:dyDescent="0.3">
      <c r="A14" s="25" t="s">
        <v>91</v>
      </c>
      <c r="B14" s="22"/>
      <c r="C14" s="23"/>
      <c r="E14" s="25" t="s">
        <v>92</v>
      </c>
      <c r="F14" s="23"/>
    </row>
    <row r="15" spans="1:7" ht="21" customHeight="1" x14ac:dyDescent="0.3">
      <c r="A15" s="11" t="s">
        <v>37</v>
      </c>
      <c r="B15" s="11" t="s">
        <v>12</v>
      </c>
      <c r="C15" s="11" t="s">
        <v>13</v>
      </c>
      <c r="E15" s="12" t="s">
        <v>77</v>
      </c>
      <c r="F15" s="12" t="s">
        <v>93</v>
      </c>
    </row>
    <row r="16" spans="1:7" ht="21" customHeight="1" x14ac:dyDescent="0.3">
      <c r="A16" s="13">
        <v>1</v>
      </c>
      <c r="B16" s="13" t="s">
        <v>48</v>
      </c>
      <c r="C16" s="14" t="s">
        <v>49</v>
      </c>
      <c r="E16" s="13" t="s">
        <v>82</v>
      </c>
      <c r="F16" s="15">
        <f>COUNTIF('Tổng hợp điểm'!$K$7:$K$20,E16)</f>
        <v>0</v>
      </c>
      <c r="G16" s="20"/>
    </row>
    <row r="17" spans="1:6" ht="21" customHeight="1" x14ac:dyDescent="0.3">
      <c r="A17" s="13">
        <v>2</v>
      </c>
      <c r="B17" s="13" t="s">
        <v>56</v>
      </c>
      <c r="C17" s="14" t="s">
        <v>57</v>
      </c>
      <c r="E17" s="13" t="s">
        <v>84</v>
      </c>
      <c r="F17" s="15">
        <f>COUNTIF('Tổng hợp điểm'!$K$7:$K$20,E17)</f>
        <v>1</v>
      </c>
    </row>
    <row r="18" spans="1:6" ht="21" customHeight="1" x14ac:dyDescent="0.3">
      <c r="A18" s="13">
        <v>3</v>
      </c>
      <c r="B18" s="13" t="s">
        <v>58</v>
      </c>
      <c r="C18" s="14" t="s">
        <v>59</v>
      </c>
      <c r="E18" s="13" t="s">
        <v>85</v>
      </c>
      <c r="F18" s="15">
        <f>COUNTIF('Tổng hợp điểm'!$K$7:$K$20,E18)</f>
        <v>2</v>
      </c>
    </row>
    <row r="19" spans="1:6" ht="21" customHeight="1" x14ac:dyDescent="0.3">
      <c r="A19" s="13">
        <v>4</v>
      </c>
      <c r="B19" s="13" t="s">
        <v>54</v>
      </c>
      <c r="C19" s="14" t="s">
        <v>55</v>
      </c>
      <c r="E19" s="13" t="s">
        <v>86</v>
      </c>
      <c r="F19" s="15">
        <f>COUNTIF('Tổng hợp điểm'!$K$7:$K$20,E19)</f>
        <v>2</v>
      </c>
    </row>
    <row r="20" spans="1:6" ht="21" customHeight="1" x14ac:dyDescent="0.3">
      <c r="A20" s="13">
        <v>5</v>
      </c>
      <c r="B20" s="13" t="s">
        <v>50</v>
      </c>
      <c r="C20" s="14" t="s">
        <v>51</v>
      </c>
      <c r="E20" s="13" t="s">
        <v>87</v>
      </c>
      <c r="F20" s="15">
        <f>COUNTIF('Tổng hợp điểm'!$K$7:$K$20,E20)</f>
        <v>5</v>
      </c>
    </row>
    <row r="21" spans="1:6" ht="21" customHeight="1" x14ac:dyDescent="0.3">
      <c r="A21" s="13">
        <v>6</v>
      </c>
      <c r="B21" s="13" t="s">
        <v>44</v>
      </c>
      <c r="C21" s="14" t="s">
        <v>45</v>
      </c>
      <c r="E21" s="13" t="s">
        <v>88</v>
      </c>
      <c r="F21" s="15">
        <f>COUNTIF('Tổng hợp điểm'!$K$7:$K$20,E21)</f>
        <v>1</v>
      </c>
    </row>
    <row r="22" spans="1:6" ht="21" customHeight="1" x14ac:dyDescent="0.3">
      <c r="A22" s="13">
        <v>7</v>
      </c>
      <c r="B22" s="13" t="s">
        <v>62</v>
      </c>
      <c r="C22" s="14" t="s">
        <v>63</v>
      </c>
      <c r="E22" s="13" t="s">
        <v>89</v>
      </c>
      <c r="F22" s="15">
        <f>COUNTIF('Tổng hợp điểm'!$K$7:$K$20,E22)</f>
        <v>0</v>
      </c>
    </row>
    <row r="23" spans="1:6" ht="21" customHeight="1" x14ac:dyDescent="0.3">
      <c r="A23" s="13">
        <v>8</v>
      </c>
      <c r="B23" s="13" t="s">
        <v>68</v>
      </c>
      <c r="C23" s="14" t="s">
        <v>69</v>
      </c>
      <c r="E23" s="13" t="s">
        <v>90</v>
      </c>
      <c r="F23" s="15">
        <f>COUNTIF('Tổng hợp điểm'!$K$7:$K$20,E23)</f>
        <v>3</v>
      </c>
    </row>
    <row r="24" spans="1:6" ht="21" customHeight="1" x14ac:dyDescent="0.3">
      <c r="A24" s="13">
        <v>9</v>
      </c>
      <c r="B24" s="13" t="s">
        <v>46</v>
      </c>
      <c r="C24" s="14" t="s">
        <v>47</v>
      </c>
    </row>
    <row r="25" spans="1:6" ht="21" customHeight="1" x14ac:dyDescent="0.3">
      <c r="A25" s="13">
        <v>10</v>
      </c>
      <c r="B25" s="13" t="s">
        <v>60</v>
      </c>
      <c r="C25" s="14" t="s">
        <v>61</v>
      </c>
      <c r="E25" s="24" t="s">
        <v>94</v>
      </c>
      <c r="F25" s="23"/>
    </row>
    <row r="26" spans="1:6" ht="36" customHeight="1" x14ac:dyDescent="0.3">
      <c r="A26" s="13">
        <v>11</v>
      </c>
      <c r="B26" s="13" t="s">
        <v>42</v>
      </c>
      <c r="C26" s="14" t="s">
        <v>73</v>
      </c>
      <c r="E26" s="16" t="s">
        <v>95</v>
      </c>
      <c r="F26" s="17">
        <f>COUNTIFS('Tổng hợp điểm'!G10:G23,0)+COUNTIFS('Tổng hợp điểm'!H10:H23,-3)</f>
        <v>3</v>
      </c>
    </row>
    <row r="27" spans="1:6" ht="36" customHeight="1" x14ac:dyDescent="0.3">
      <c r="A27" s="13">
        <v>12</v>
      </c>
      <c r="B27" s="13" t="s">
        <v>52</v>
      </c>
      <c r="C27" s="14" t="s">
        <v>53</v>
      </c>
      <c r="E27" s="16" t="s">
        <v>96</v>
      </c>
      <c r="F27" s="17" cm="1">
        <f t="array" ref="F27">SUMPRODUCT(--(IFERROR(VALUE(LEFT('Tổng hợp điểm'!B7:B20,1)),0)&gt;2))</f>
        <v>2</v>
      </c>
    </row>
    <row r="28" spans="1:6" ht="21" customHeight="1" x14ac:dyDescent="0.3">
      <c r="A28" s="13">
        <v>13</v>
      </c>
      <c r="B28" s="13" t="s">
        <v>66</v>
      </c>
      <c r="C28" s="14" t="s">
        <v>67</v>
      </c>
      <c r="E28" s="18"/>
      <c r="F28" s="19"/>
    </row>
    <row r="29" spans="1:6" ht="21" customHeight="1" x14ac:dyDescent="0.3">
      <c r="A29" s="13">
        <v>14</v>
      </c>
      <c r="B29" s="13" t="s">
        <v>64</v>
      </c>
      <c r="C29" s="14" t="s">
        <v>65</v>
      </c>
    </row>
    <row r="30" spans="1:6" ht="21" customHeight="1" x14ac:dyDescent="0.3"/>
    <row r="31" spans="1:6" ht="21" customHeight="1" x14ac:dyDescent="0.3"/>
    <row r="32" spans="1:6" ht="21" customHeight="1" x14ac:dyDescent="0.3"/>
    <row r="33" ht="21" customHeight="1" x14ac:dyDescent="0.3"/>
    <row r="34" ht="21" customHeight="1" x14ac:dyDescent="0.3"/>
    <row r="35" ht="21" customHeight="1" x14ac:dyDescent="0.3"/>
    <row r="36" ht="21" customHeight="1" x14ac:dyDescent="0.3"/>
    <row r="37" ht="21" customHeight="1" x14ac:dyDescent="0.3"/>
    <row r="38" ht="21" customHeight="1" x14ac:dyDescent="0.3"/>
    <row r="39" ht="21" customHeight="1" x14ac:dyDescent="0.3"/>
  </sheetData>
  <mergeCells count="5">
    <mergeCell ref="A1:C1"/>
    <mergeCell ref="E25:F25"/>
    <mergeCell ref="A14:C14"/>
    <mergeCell ref="E1:F1"/>
    <mergeCell ref="E14:F14"/>
  </mergeCells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1A9B-6E4B-4E49-8C27-F113360448AE}">
  <dimension ref="A1:K12"/>
  <sheetViews>
    <sheetView workbookViewId="0">
      <selection activeCell="O10" sqref="O10"/>
    </sheetView>
  </sheetViews>
  <sheetFormatPr defaultRowHeight="14.4" x14ac:dyDescent="0.3"/>
  <cols>
    <col min="3" max="3" width="16.33203125" customWidth="1"/>
  </cols>
  <sheetData>
    <row r="1" spans="1:11" ht="78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1" ht="15.6" x14ac:dyDescent="0.3">
      <c r="A2" s="2">
        <v>1</v>
      </c>
      <c r="B2" s="4" t="s">
        <v>22</v>
      </c>
      <c r="C2" s="4" t="s">
        <v>43</v>
      </c>
      <c r="D2" s="7">
        <v>0.45</v>
      </c>
      <c r="E2" s="7">
        <v>0.25</v>
      </c>
      <c r="F2" s="7">
        <v>0.3</v>
      </c>
      <c r="G2" s="7">
        <v>0.5</v>
      </c>
      <c r="H2" s="7">
        <v>4.2</v>
      </c>
      <c r="I2" s="7">
        <v>4.0199999999999996</v>
      </c>
      <c r="J2" s="5">
        <v>5.0199999999999996</v>
      </c>
      <c r="K2" s="5" t="s">
        <v>88</v>
      </c>
    </row>
    <row r="3" spans="1:11" ht="15.6" x14ac:dyDescent="0.3">
      <c r="A3" s="2">
        <v>2</v>
      </c>
      <c r="B3" s="4" t="s">
        <v>23</v>
      </c>
      <c r="C3" s="4" t="s">
        <v>45</v>
      </c>
      <c r="D3" s="7">
        <v>0.5</v>
      </c>
      <c r="E3" s="7">
        <v>0.35</v>
      </c>
      <c r="F3" s="7">
        <v>0.4</v>
      </c>
      <c r="G3" s="7">
        <v>1</v>
      </c>
      <c r="H3" s="7">
        <v>5.8</v>
      </c>
      <c r="I3" s="7">
        <v>5.73</v>
      </c>
      <c r="J3" s="5">
        <v>6.23</v>
      </c>
      <c r="K3" s="5" t="s">
        <v>87</v>
      </c>
    </row>
    <row r="4" spans="1:11" ht="15.6" x14ac:dyDescent="0.3">
      <c r="A4" s="2">
        <v>3</v>
      </c>
      <c r="B4" s="4" t="s">
        <v>24</v>
      </c>
      <c r="C4" s="4" t="s">
        <v>47</v>
      </c>
      <c r="D4" s="7">
        <v>0.25</v>
      </c>
      <c r="E4" s="7">
        <v>0.25</v>
      </c>
      <c r="F4" s="7">
        <v>0.3</v>
      </c>
      <c r="G4" s="7">
        <v>0.5</v>
      </c>
      <c r="H4" s="7">
        <v>5.8</v>
      </c>
      <c r="I4" s="7">
        <v>4.78</v>
      </c>
      <c r="J4" s="5">
        <v>5.78</v>
      </c>
      <c r="K4" s="5" t="s">
        <v>87</v>
      </c>
    </row>
    <row r="5" spans="1:11" ht="15.6" x14ac:dyDescent="0.3">
      <c r="A5" s="2">
        <v>4</v>
      </c>
      <c r="B5" s="4" t="s">
        <v>25</v>
      </c>
      <c r="C5" s="4" t="s">
        <v>49</v>
      </c>
      <c r="D5" s="7">
        <v>0.4</v>
      </c>
      <c r="E5" s="7">
        <v>0.25</v>
      </c>
      <c r="F5" s="7">
        <v>0.35</v>
      </c>
      <c r="G5" s="7">
        <v>1</v>
      </c>
      <c r="H5" s="7">
        <v>4.5</v>
      </c>
      <c r="I5" s="7">
        <v>4.6999999999999993</v>
      </c>
      <c r="J5" s="5">
        <v>5.6999999999999993</v>
      </c>
      <c r="K5" s="5" t="s">
        <v>87</v>
      </c>
    </row>
    <row r="6" spans="1:11" ht="15.6" x14ac:dyDescent="0.3">
      <c r="A6" s="2">
        <v>5</v>
      </c>
      <c r="B6" s="4" t="s">
        <v>26</v>
      </c>
      <c r="C6" s="4" t="s">
        <v>51</v>
      </c>
      <c r="D6" s="7">
        <v>0.45</v>
      </c>
      <c r="E6" s="7">
        <v>0.4</v>
      </c>
      <c r="F6" s="7">
        <v>0.35</v>
      </c>
      <c r="G6" s="7">
        <v>0.75</v>
      </c>
      <c r="H6" s="7">
        <v>5.5</v>
      </c>
      <c r="I6" s="7">
        <v>5.25</v>
      </c>
      <c r="J6" s="5">
        <v>5.5</v>
      </c>
      <c r="K6" s="5" t="s">
        <v>87</v>
      </c>
    </row>
    <row r="7" spans="1:11" ht="15.6" x14ac:dyDescent="0.3">
      <c r="A7" s="2">
        <v>7</v>
      </c>
      <c r="B7" s="4" t="s">
        <v>28</v>
      </c>
      <c r="C7" s="4" t="s">
        <v>55</v>
      </c>
      <c r="D7" s="7">
        <v>0.4</v>
      </c>
      <c r="E7" s="7">
        <v>0.4</v>
      </c>
      <c r="F7" s="7">
        <v>0.4</v>
      </c>
      <c r="G7" s="7">
        <v>1</v>
      </c>
      <c r="H7" s="7">
        <v>5.3</v>
      </c>
      <c r="I7" s="7">
        <v>5.38</v>
      </c>
      <c r="J7" s="5">
        <v>6.38</v>
      </c>
      <c r="K7" s="5" t="s">
        <v>87</v>
      </c>
    </row>
    <row r="8" spans="1:11" ht="15.6" x14ac:dyDescent="0.3">
      <c r="A8" s="2">
        <v>8</v>
      </c>
      <c r="B8" s="4" t="s">
        <v>29</v>
      </c>
      <c r="C8" s="4" t="s">
        <v>57</v>
      </c>
      <c r="D8" s="7">
        <v>0.45</v>
      </c>
      <c r="E8" s="7">
        <v>0.4</v>
      </c>
      <c r="F8" s="7">
        <v>0.45</v>
      </c>
      <c r="G8" s="7">
        <v>0</v>
      </c>
      <c r="H8" s="7">
        <v>6.8</v>
      </c>
      <c r="I8" s="7">
        <v>5.38</v>
      </c>
      <c r="J8" s="5">
        <v>0</v>
      </c>
      <c r="K8" s="5" t="s">
        <v>90</v>
      </c>
    </row>
    <row r="9" spans="1:11" ht="15.6" x14ac:dyDescent="0.3">
      <c r="A9" s="2">
        <v>9</v>
      </c>
      <c r="B9" s="4" t="s">
        <v>30</v>
      </c>
      <c r="C9" s="4" t="s">
        <v>59</v>
      </c>
      <c r="D9" s="7">
        <v>0.45</v>
      </c>
      <c r="E9" s="7">
        <v>0.4</v>
      </c>
      <c r="F9" s="7">
        <v>0.4</v>
      </c>
      <c r="G9" s="7">
        <v>0.75</v>
      </c>
      <c r="H9" s="7">
        <v>6.3</v>
      </c>
      <c r="I9" s="7">
        <v>5.7799999999999994</v>
      </c>
      <c r="J9" s="5">
        <v>6.7799999999999994</v>
      </c>
      <c r="K9" s="5" t="s">
        <v>86</v>
      </c>
    </row>
    <row r="10" spans="1:11" ht="15.6" x14ac:dyDescent="0.3">
      <c r="A10" s="2">
        <v>11</v>
      </c>
      <c r="B10" s="4" t="s">
        <v>32</v>
      </c>
      <c r="C10" s="4" t="s">
        <v>63</v>
      </c>
      <c r="D10" s="7">
        <v>0.4</v>
      </c>
      <c r="E10" s="7">
        <v>0.45</v>
      </c>
      <c r="F10" s="7">
        <v>0.4</v>
      </c>
      <c r="G10" s="7">
        <v>0.3</v>
      </c>
      <c r="H10" s="7">
        <v>-3</v>
      </c>
      <c r="I10" s="7">
        <v>0</v>
      </c>
      <c r="J10" s="5">
        <v>0</v>
      </c>
      <c r="K10" s="5" t="s">
        <v>90</v>
      </c>
    </row>
    <row r="11" spans="1:11" ht="15.6" x14ac:dyDescent="0.3">
      <c r="A11" s="2">
        <v>13</v>
      </c>
      <c r="B11" s="4" t="s">
        <v>34</v>
      </c>
      <c r="C11" s="4" t="s">
        <v>67</v>
      </c>
      <c r="D11" s="7">
        <v>0.4</v>
      </c>
      <c r="E11" s="7">
        <v>0.4</v>
      </c>
      <c r="F11" s="7">
        <v>0.35</v>
      </c>
      <c r="G11" s="7">
        <v>1.35</v>
      </c>
      <c r="H11" s="7">
        <v>-3</v>
      </c>
      <c r="I11" s="7">
        <v>0</v>
      </c>
      <c r="J11" s="5">
        <v>0</v>
      </c>
      <c r="K11" s="5" t="s">
        <v>90</v>
      </c>
    </row>
    <row r="12" spans="1:11" ht="15.6" x14ac:dyDescent="0.3">
      <c r="A12" s="2">
        <v>14</v>
      </c>
      <c r="B12" s="4" t="s">
        <v>35</v>
      </c>
      <c r="C12" s="4" t="s">
        <v>69</v>
      </c>
      <c r="D12" s="7">
        <v>0.35</v>
      </c>
      <c r="E12" s="7">
        <v>0.4</v>
      </c>
      <c r="F12" s="7">
        <v>0</v>
      </c>
      <c r="G12" s="7">
        <v>0.85</v>
      </c>
      <c r="H12" s="7">
        <v>6.5</v>
      </c>
      <c r="I12" s="7">
        <v>5.5</v>
      </c>
      <c r="J12" s="5">
        <v>6.5</v>
      </c>
      <c r="K12" s="5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3C89-9E9C-4CDD-9553-D758D0023AAA}">
  <dimension ref="A1:K2"/>
  <sheetViews>
    <sheetView workbookViewId="0">
      <selection activeCell="D10" sqref="D10"/>
    </sheetView>
  </sheetViews>
  <sheetFormatPr defaultRowHeight="14.4" x14ac:dyDescent="0.3"/>
  <sheetData>
    <row r="1" spans="1:11" ht="78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1" ht="15.6" x14ac:dyDescent="0.3">
      <c r="A2" s="2">
        <v>6</v>
      </c>
      <c r="B2" s="4" t="s">
        <v>27</v>
      </c>
      <c r="C2" s="4" t="s">
        <v>53</v>
      </c>
      <c r="D2" s="7">
        <v>0.4</v>
      </c>
      <c r="E2" s="7">
        <v>0.45</v>
      </c>
      <c r="F2" s="7">
        <v>0.5</v>
      </c>
      <c r="G2" s="7">
        <v>1.2</v>
      </c>
      <c r="H2" s="7">
        <v>7.5</v>
      </c>
      <c r="I2" s="7">
        <v>7.05</v>
      </c>
      <c r="J2" s="5">
        <v>8.0500000000000007</v>
      </c>
      <c r="K2" s="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&lt;7</vt:lpstr>
      <vt:lpstr>sinh viên điểm &gt;=7</vt:lpstr>
      <vt:lpstr>'Các bảng tham chiếu &amp; Thống kê'!Print_Area</vt:lpstr>
      <vt:lpstr>'Điểm bài tập lớn'!Print_Area</vt:lpstr>
      <vt:lpstr>'Điểm lý thuyết'!Print_Area</vt:lpstr>
      <vt:lpstr>'Điểm thực hành các buổi'!Print_Area</vt:lpstr>
      <vt:lpstr>'Tổng hợp điểm'!Print_Area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 Phan</cp:lastModifiedBy>
  <dcterms:created xsi:type="dcterms:W3CDTF">2026-09-30T12:55:03Z</dcterms:created>
  <dcterms:modified xsi:type="dcterms:W3CDTF">2026-10-01T13:42:00Z</dcterms:modified>
</cp:coreProperties>
</file>